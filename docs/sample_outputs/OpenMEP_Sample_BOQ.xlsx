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Quantities" sheetId="1" state="visible" r:id="rId1"/>
    <sheet name="Cable Schedule" sheetId="2" state="visible" r:id="rId2"/>
    <sheet name="Standard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0096C7"/>
      <sz val="16"/>
    </font>
    <font>
      <name val="Calibri"/>
      <i val="1"/>
      <color rgb="008899BB"/>
      <sz val="9"/>
    </font>
    <font>
      <name val="Calibri"/>
      <b val="1"/>
      <color rgb="00FFFFFF"/>
      <sz val="10"/>
    </font>
    <font>
      <name val="Calibri"/>
      <b val="1"/>
      <color rgb="000096C7"/>
      <sz val="10"/>
    </font>
    <font>
      <name val="Calibri"/>
      <b val="1"/>
      <color rgb="001C2538"/>
      <sz val="9.5"/>
    </font>
    <font>
      <name val="Calibri"/>
      <color rgb="001C2538"/>
      <sz val="9.5"/>
    </font>
    <font>
      <name val="Calibri"/>
      <b val="1"/>
      <color rgb="002DC653"/>
      <sz val="9.5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00B4D8"/>
      <sz val="10"/>
    </font>
    <font>
      <name val="Calibri"/>
      <b val="1"/>
      <color rgb="00FFFFFF"/>
      <sz val="13"/>
    </font>
    <font>
      <name val="Calibri"/>
      <b val="1"/>
      <color rgb="000096C7"/>
      <sz val="13"/>
    </font>
    <font>
      <name val="Calibri"/>
      <color rgb="001C2538"/>
      <sz val="9"/>
    </font>
    <font>
      <name val="Calibri"/>
      <b val="1"/>
      <color rgb="00E63946"/>
      <sz val="9"/>
    </font>
    <font>
      <name val="Calibri"/>
      <color rgb="002DC653"/>
      <sz val="9"/>
    </font>
    <font>
      <name val="Calibri"/>
      <b val="1"/>
      <color rgb="0000B4D8"/>
      <sz val="9.5"/>
    </font>
    <font>
      <name val="Calibri"/>
      <i val="1"/>
      <color rgb="00304560"/>
      <sz val="8"/>
    </font>
  </fonts>
  <fills count="8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C2538"/>
      </patternFill>
    </fill>
    <fill>
      <patternFill patternType="solid">
        <fgColor rgb="00FFFFFF"/>
      </patternFill>
    </fill>
    <fill>
      <patternFill patternType="solid">
        <fgColor rgb="00E8F9F0"/>
      </patternFill>
    </fill>
    <fill>
      <patternFill patternType="solid">
        <fgColor rgb="00EEF4FA"/>
      </patternFill>
    </fill>
    <fill>
      <patternFill patternType="solid">
        <fgColor rgb="000096C7"/>
      </patternFill>
    </fill>
  </fills>
  <borders count="2">
    <border>
      <left/>
      <right/>
      <top/>
      <bottom/>
      <diagonal/>
    </border>
    <border>
      <left style="thin">
        <color rgb="002A3A50"/>
      </left>
      <right style="thin">
        <color rgb="002A3A50"/>
      </right>
      <top style="thin">
        <color rgb="002A3A50"/>
      </top>
      <bottom style="thin">
        <color rgb="002A3A5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4" fontId="9" fillId="7" borderId="1" applyAlignment="1" pivotButton="0" quotePrefix="0" xfId="0">
      <alignment horizontal="right" vertical="center"/>
    </xf>
    <xf numFmtId="0" fontId="10" fillId="3" borderId="0" applyAlignment="1" pivotButton="0" quotePrefix="0" xfId="0">
      <alignment horizontal="right" vertical="center"/>
    </xf>
    <xf numFmtId="4" fontId="10" fillId="3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right" vertical="center"/>
    </xf>
    <xf numFmtId="4" fontId="11" fillId="7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2" fontId="14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2" fontId="13" fillId="4" borderId="1" applyAlignment="1" pivotButton="0" quotePrefix="0" xfId="0">
      <alignment horizontal="center" vertical="center"/>
    </xf>
    <xf numFmtId="2" fontId="15" fillId="4" borderId="1" applyAlignment="1" pivotButton="0" quotePrefix="0" xfId="0">
      <alignment horizontal="center" vertical="center"/>
    </xf>
    <xf numFmtId="2" fontId="15" fillId="6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6" customWidth="1" min="4" max="4"/>
    <col width="8" customWidth="1" min="5" max="5"/>
    <col width="14" customWidth="1" min="6" max="6"/>
    <col width="14" customWidth="1" min="7" max="7"/>
    <col width="22" customWidth="1" min="8" max="8"/>
    <col width="12" customWidth="1" min="9" max="9"/>
  </cols>
  <sheetData>
    <row r="1" ht="36" customHeight="1">
      <c r="A1" s="1" t="inlineStr">
        <is>
          <t>OpenMEP — Electrical Bill of Quantities (BOQ)</t>
        </is>
      </c>
    </row>
    <row r="2" ht="20" customHeight="1">
      <c r="A2" s="2" t="inlineStr">
        <is>
          <t>Project: Al Noor Mixed-Use Tower, Dubai, UAE  |  Rev A  |  30 March 2026  |  Prepared by: Luquman A</t>
        </is>
      </c>
    </row>
    <row r="3">
      <c r="A3" s="3" t="inlineStr">
        <is>
          <t>Item</t>
        </is>
      </c>
      <c r="B3" s="3" t="inlineStr">
        <is>
          <t>Description</t>
        </is>
      </c>
      <c r="C3" s="3" t="inlineStr">
        <is>
          <t>Spec / Standard</t>
        </is>
      </c>
      <c r="D3" s="3" t="inlineStr">
        <is>
          <t>Unit</t>
        </is>
      </c>
      <c r="E3" s="3" t="inlineStr">
        <is>
          <t>Qty</t>
        </is>
      </c>
      <c r="F3" s="3" t="inlineStr">
        <is>
          <t>Unit Rate (AED)</t>
        </is>
      </c>
      <c r="G3" s="3" t="inlineStr">
        <is>
          <t>Total (AED)</t>
        </is>
      </c>
      <c r="H3" s="3" t="inlineStr">
        <is>
          <t>Remarks</t>
        </is>
      </c>
      <c r="I3" s="3" t="inlineStr">
        <is>
          <t>Ref</t>
        </is>
      </c>
    </row>
    <row r="4" ht="18" customHeight="1">
      <c r="A4" s="4" t="inlineStr">
        <is>
          <t>1.0  LV CABLES — MAIN DISTRIBUTION</t>
        </is>
      </c>
    </row>
    <row r="5" ht="22" customHeight="1">
      <c r="A5" s="5" t="inlineStr">
        <is>
          <t>1.1</t>
        </is>
      </c>
      <c r="B5" s="6" t="inlineStr">
        <is>
          <t>4C+E 16mm² XLPE/SWA/PVC Cu  BS 5467</t>
        </is>
      </c>
      <c r="C5" s="7" t="inlineStr">
        <is>
          <t>BS 7671 Table 4D5A  Method C</t>
        </is>
      </c>
      <c r="D5" s="8" t="inlineStr">
        <is>
          <t>m</t>
        </is>
      </c>
      <c r="E5" s="8" t="n">
        <v>320</v>
      </c>
      <c r="F5" s="9" t="n">
        <v>28.5</v>
      </c>
      <c r="G5" s="10" t="n">
        <v>9120</v>
      </c>
      <c r="H5" s="7" t="inlineStr">
        <is>
          <t>From LV board to DB-L2-01</t>
        </is>
      </c>
      <c r="I5" s="7" t="inlineStr">
        <is>
          <t>Cal-E-01</t>
        </is>
      </c>
    </row>
    <row r="6" ht="22" customHeight="1">
      <c r="A6" s="11" t="inlineStr">
        <is>
          <t>1.2</t>
        </is>
      </c>
      <c r="B6" s="12" t="inlineStr">
        <is>
          <t>4C+E 25mm² XLPE/SWA/PVC Cu  BS 5467</t>
        </is>
      </c>
      <c r="C6" s="13" t="inlineStr">
        <is>
          <t>BS 7671 Table 4D5A  Method C</t>
        </is>
      </c>
      <c r="D6" s="14" t="inlineStr">
        <is>
          <t>m</t>
        </is>
      </c>
      <c r="E6" s="14" t="n">
        <v>180</v>
      </c>
      <c r="F6" s="15" t="n">
        <v>42</v>
      </c>
      <c r="G6" s="10" t="n">
        <v>7560</v>
      </c>
      <c r="H6" s="13" t="inlineStr">
        <is>
          <t>LV board to AHU panels</t>
        </is>
      </c>
      <c r="I6" s="13" t="inlineStr">
        <is>
          <t>Cal-E-02</t>
        </is>
      </c>
    </row>
    <row r="7" ht="22" customHeight="1">
      <c r="A7" s="5" t="inlineStr">
        <is>
          <t>1.3</t>
        </is>
      </c>
      <c r="B7" s="6" t="inlineStr">
        <is>
          <t>4C+E 50mm² XLPE/SWA/PVC Cu  BS 5467</t>
        </is>
      </c>
      <c r="C7" s="7" t="inlineStr">
        <is>
          <t>BS 7671 Table 4D5A  Method C</t>
        </is>
      </c>
      <c r="D7" s="8" t="inlineStr">
        <is>
          <t>m</t>
        </is>
      </c>
      <c r="E7" s="8" t="n">
        <v>95</v>
      </c>
      <c r="F7" s="9" t="n">
        <v>78</v>
      </c>
      <c r="G7" s="10" t="n">
        <v>7410</v>
      </c>
      <c r="H7" s="7" t="inlineStr">
        <is>
          <t>Main feeder to SMDB</t>
        </is>
      </c>
      <c r="I7" s="7" t="inlineStr">
        <is>
          <t>Cal-E-03</t>
        </is>
      </c>
    </row>
    <row r="8" ht="22" customHeight="1">
      <c r="A8" s="11" t="inlineStr">
        <is>
          <t>1.4</t>
        </is>
      </c>
      <c r="B8" s="12" t="inlineStr">
        <is>
          <t>4C+E 95mm² XLPE/SWA/PVC Cu  BS 5467</t>
        </is>
      </c>
      <c r="C8" s="13" t="inlineStr">
        <is>
          <t>BS 7671 Table 4D5A  Method C</t>
        </is>
      </c>
      <c r="D8" s="14" t="inlineStr">
        <is>
          <t>m</t>
        </is>
      </c>
      <c r="E8" s="14" t="n">
        <v>60</v>
      </c>
      <c r="F8" s="15" t="n">
        <v>148</v>
      </c>
      <c r="G8" s="10" t="n">
        <v>8880</v>
      </c>
      <c r="H8" s="13" t="inlineStr">
        <is>
          <t>Utility connection feeder</t>
        </is>
      </c>
      <c r="I8" s="13" t="inlineStr">
        <is>
          <t>Cal-E-04</t>
        </is>
      </c>
    </row>
    <row r="9" ht="18" customHeight="1">
      <c r="A9" s="4" t="inlineStr">
        <is>
          <t>2.0  LV SWITCHGEAR</t>
        </is>
      </c>
    </row>
    <row r="10" ht="22" customHeight="1">
      <c r="A10" s="11" t="inlineStr">
        <is>
          <t>2.1</t>
        </is>
      </c>
      <c r="B10" s="12" t="inlineStr">
        <is>
          <t>800A 4P MCCB  Icu=50kA</t>
        </is>
      </c>
      <c r="C10" s="13" t="inlineStr">
        <is>
          <t>IEC 60947-2  DEWA approved</t>
        </is>
      </c>
      <c r="D10" s="14" t="inlineStr">
        <is>
          <t>No.</t>
        </is>
      </c>
      <c r="E10" s="14" t="n">
        <v>2</v>
      </c>
      <c r="F10" s="15" t="n">
        <v>4200</v>
      </c>
      <c r="G10" s="10" t="n">
        <v>8400</v>
      </c>
      <c r="H10" s="13" t="inlineStr">
        <is>
          <t>Main MCCB in SMDB</t>
        </is>
      </c>
      <c r="I10" s="13" t="inlineStr">
        <is>
          <t>Cal-E-05</t>
        </is>
      </c>
    </row>
    <row r="11" ht="22" customHeight="1">
      <c r="A11" s="5" t="inlineStr">
        <is>
          <t>2.2</t>
        </is>
      </c>
      <c r="B11" s="6" t="inlineStr">
        <is>
          <t>250A 4P MCCB  Icu=36kA</t>
        </is>
      </c>
      <c r="C11" s="7" t="inlineStr">
        <is>
          <t>IEC 60947-2</t>
        </is>
      </c>
      <c r="D11" s="8" t="inlineStr">
        <is>
          <t>No.</t>
        </is>
      </c>
      <c r="E11" s="8" t="n">
        <v>6</v>
      </c>
      <c r="F11" s="9" t="n">
        <v>1650</v>
      </c>
      <c r="G11" s="10" t="n">
        <v>9900</v>
      </c>
      <c r="H11" s="7" t="inlineStr">
        <is>
          <t>Sub-distribution feeders</t>
        </is>
      </c>
      <c r="I11" s="7" t="inlineStr">
        <is>
          <t>Cal-E-05</t>
        </is>
      </c>
    </row>
    <row r="12" ht="22" customHeight="1">
      <c r="A12" s="11" t="inlineStr">
        <is>
          <t>2.3</t>
        </is>
      </c>
      <c r="B12" s="12" t="inlineStr">
        <is>
          <t>63A 4P MCCB  Icu=25kA</t>
        </is>
      </c>
      <c r="C12" s="13" t="inlineStr">
        <is>
          <t>IEC 60947-2</t>
        </is>
      </c>
      <c r="D12" s="14" t="inlineStr">
        <is>
          <t>No.</t>
        </is>
      </c>
      <c r="E12" s="14" t="n">
        <v>18</v>
      </c>
      <c r="F12" s="15" t="n">
        <v>480</v>
      </c>
      <c r="G12" s="10" t="n">
        <v>8640</v>
      </c>
      <c r="H12" s="13" t="inlineStr">
        <is>
          <t>Floor DBs</t>
        </is>
      </c>
      <c r="I12" s="13" t="inlineStr">
        <is>
          <t>Cal-E-05</t>
        </is>
      </c>
    </row>
    <row r="13" ht="22" customHeight="1">
      <c r="A13" s="5" t="inlineStr">
        <is>
          <t>2.4</t>
        </is>
      </c>
      <c r="B13" s="6" t="inlineStr">
        <is>
          <t>32A TP+N MCB  Type C  BS EN 60898</t>
        </is>
      </c>
      <c r="C13" s="7" t="inlineStr">
        <is>
          <t>BS EN 60898</t>
        </is>
      </c>
      <c r="D13" s="8" t="inlineStr">
        <is>
          <t>No.</t>
        </is>
      </c>
      <c r="E13" s="8" t="n">
        <v>45</v>
      </c>
      <c r="F13" s="9" t="n">
        <v>85</v>
      </c>
      <c r="G13" s="10" t="n">
        <v>3825</v>
      </c>
      <c r="H13" s="7" t="inlineStr">
        <is>
          <t>Final circuit protection</t>
        </is>
      </c>
      <c r="I13" s="7" t="inlineStr">
        <is>
          <t>Cal-E-06</t>
        </is>
      </c>
    </row>
    <row r="14" ht="18" customHeight="1">
      <c r="A14" s="4" t="inlineStr">
        <is>
          <t>3.0  EARTHING &amp; BONDING</t>
        </is>
      </c>
    </row>
    <row r="15" ht="22" customHeight="1">
      <c r="A15" s="5" t="inlineStr">
        <is>
          <t>3.1</t>
        </is>
      </c>
      <c r="B15" s="6" t="inlineStr">
        <is>
          <t>25mm² bare Cu earth tape in GI conduit</t>
        </is>
      </c>
      <c r="C15" s="7" t="inlineStr">
        <is>
          <t>BS 7671 Pt 5, IS 3043:2018</t>
        </is>
      </c>
      <c r="D15" s="8" t="inlineStr">
        <is>
          <t>m</t>
        </is>
      </c>
      <c r="E15" s="8" t="n">
        <v>220</v>
      </c>
      <c r="F15" s="9" t="n">
        <v>18</v>
      </c>
      <c r="G15" s="10" t="n">
        <v>3960</v>
      </c>
      <c r="H15" s="7" t="inlineStr">
        <is>
          <t>Main earth ring conductor</t>
        </is>
      </c>
      <c r="I15" s="7" t="inlineStr">
        <is>
          <t>Cal-E-07</t>
        </is>
      </c>
    </row>
    <row r="16" ht="22" customHeight="1">
      <c r="A16" s="11" t="inlineStr">
        <is>
          <t>3.2</t>
        </is>
      </c>
      <c r="B16" s="12" t="inlineStr">
        <is>
          <t>Earth electrode 1800mm copper-bonded</t>
        </is>
      </c>
      <c r="C16" s="13" t="inlineStr">
        <is>
          <t>BS 7430</t>
        </is>
      </c>
      <c r="D16" s="14" t="inlineStr">
        <is>
          <t>No.</t>
        </is>
      </c>
      <c r="E16" s="14" t="n">
        <v>4</v>
      </c>
      <c r="F16" s="15" t="n">
        <v>850</v>
      </c>
      <c r="G16" s="10" t="n">
        <v>3400</v>
      </c>
      <c r="H16" s="13" t="inlineStr">
        <is>
          <t>At MDB/generator</t>
        </is>
      </c>
      <c r="I16" s="13" t="inlineStr">
        <is>
          <t>Cal-E-07</t>
        </is>
      </c>
    </row>
    <row r="17" ht="22" customHeight="1">
      <c r="A17" s="5" t="inlineStr">
        <is>
          <t>3.3</t>
        </is>
      </c>
      <c r="B17" s="6" t="inlineStr">
        <is>
          <t>6mm² green-yellow CPC earth wire</t>
        </is>
      </c>
      <c r="C17" s="7" t="inlineStr">
        <is>
          <t>BS 7671 Table 54.7</t>
        </is>
      </c>
      <c r="D17" s="8" t="inlineStr">
        <is>
          <t>m</t>
        </is>
      </c>
      <c r="E17" s="8" t="n">
        <v>650</v>
      </c>
      <c r="F17" s="9" t="n">
        <v>4.8</v>
      </c>
      <c r="G17" s="10" t="n">
        <v>3120</v>
      </c>
      <c r="H17" s="7" t="inlineStr">
        <is>
          <t>CPC in cable trays</t>
        </is>
      </c>
      <c r="I17" s="7" t="inlineStr">
        <is>
          <t>Cal-E-07</t>
        </is>
      </c>
    </row>
    <row r="18" ht="18" customHeight="1">
      <c r="A18" s="4" t="inlineStr">
        <is>
          <t>4.0  LIGHTING SYSTEM</t>
        </is>
      </c>
    </row>
    <row r="19" ht="22" customHeight="1">
      <c r="A19" s="5" t="inlineStr">
        <is>
          <t>4.1</t>
        </is>
      </c>
      <c r="B19" s="6" t="inlineStr">
        <is>
          <t>LED panel 600×600  4000K  3500lm  32W</t>
        </is>
      </c>
      <c r="C19" s="7" t="inlineStr">
        <is>
          <t>CIBSE LG7  &gt;80Ra</t>
        </is>
      </c>
      <c r="D19" s="8" t="inlineStr">
        <is>
          <t>No.</t>
        </is>
      </c>
      <c r="E19" s="8" t="n">
        <v>120</v>
      </c>
      <c r="F19" s="9" t="n">
        <v>380</v>
      </c>
      <c r="G19" s="10" t="n">
        <v>45600</v>
      </c>
      <c r="H19" s="7" t="inlineStr">
        <is>
          <t>Open office areas</t>
        </is>
      </c>
      <c r="I19" s="7" t="inlineStr">
        <is>
          <t>Cal-L-01</t>
        </is>
      </c>
    </row>
    <row r="20" ht="22" customHeight="1">
      <c r="A20" s="11" t="inlineStr">
        <is>
          <t>4.2</t>
        </is>
      </c>
      <c r="B20" s="12" t="inlineStr">
        <is>
          <t>LED downlight 200mm  3000K  1200lm  15W</t>
        </is>
      </c>
      <c r="C20" s="13" t="inlineStr">
        <is>
          <t>CIBSE LG7</t>
        </is>
      </c>
      <c r="D20" s="14" t="inlineStr">
        <is>
          <t>No.</t>
        </is>
      </c>
      <c r="E20" s="14" t="n">
        <v>84</v>
      </c>
      <c r="F20" s="15" t="n">
        <v>195</v>
      </c>
      <c r="G20" s="10" t="n">
        <v>16380</v>
      </c>
      <c r="H20" s="13" t="inlineStr">
        <is>
          <t>Corridors &amp; lobbies</t>
        </is>
      </c>
      <c r="I20" s="13" t="inlineStr">
        <is>
          <t>Cal-L-01</t>
        </is>
      </c>
    </row>
    <row r="21" ht="22" customHeight="1">
      <c r="A21" s="5" t="inlineStr">
        <is>
          <t>4.3</t>
        </is>
      </c>
      <c r="B21" s="6" t="inlineStr">
        <is>
          <t>LED emergency fitting 3hr NM  BS EN 60598</t>
        </is>
      </c>
      <c r="C21" s="7" t="inlineStr">
        <is>
          <t>BS 5266 Part 1</t>
        </is>
      </c>
      <c r="D21" s="8" t="inlineStr">
        <is>
          <t>No.</t>
        </is>
      </c>
      <c r="E21" s="8" t="n">
        <v>36</v>
      </c>
      <c r="F21" s="9" t="n">
        <v>420</v>
      </c>
      <c r="G21" s="10" t="n">
        <v>15120</v>
      </c>
      <c r="H21" s="7" t="inlineStr">
        <is>
          <t>Emergency escape routes</t>
        </is>
      </c>
      <c r="I21" s="7" t="inlineStr">
        <is>
          <t>Cal-L-02</t>
        </is>
      </c>
    </row>
    <row r="22" ht="18" customHeight="1">
      <c r="A22" s="4" t="inlineStr">
        <is>
          <t>5.0  CONTAINMENT SYSTEMS</t>
        </is>
      </c>
    </row>
    <row r="23" ht="22" customHeight="1">
      <c r="A23" s="5" t="inlineStr">
        <is>
          <t>5.1</t>
        </is>
      </c>
      <c r="B23" s="6" t="inlineStr">
        <is>
          <t>Cable tray 300mm×50mm GI  BS EN 61537</t>
        </is>
      </c>
      <c r="C23" s="7" t="inlineStr">
        <is>
          <t>BS EN 61537</t>
        </is>
      </c>
      <c r="D23" s="8" t="inlineStr">
        <is>
          <t>m</t>
        </is>
      </c>
      <c r="E23" s="8" t="n">
        <v>480</v>
      </c>
      <c r="F23" s="9" t="n">
        <v>38</v>
      </c>
      <c r="G23" s="10" t="n">
        <v>18240</v>
      </c>
      <c r="H23" s="7" t="inlineStr">
        <is>
          <t>Main cable routes</t>
        </is>
      </c>
      <c r="I23" s="7" t="inlineStr">
        <is>
          <t>—</t>
        </is>
      </c>
    </row>
    <row r="24" ht="22" customHeight="1">
      <c r="A24" s="11" t="inlineStr">
        <is>
          <t>5.2</t>
        </is>
      </c>
      <c r="B24" s="12" t="inlineStr">
        <is>
          <t>Cable tray 150mm×50mm GI  BS EN 61537</t>
        </is>
      </c>
      <c r="C24" s="13" t="inlineStr">
        <is>
          <t>BS EN 61537</t>
        </is>
      </c>
      <c r="D24" s="14" t="inlineStr">
        <is>
          <t>m</t>
        </is>
      </c>
      <c r="E24" s="14" t="n">
        <v>320</v>
      </c>
      <c r="F24" s="15" t="n">
        <v>24</v>
      </c>
      <c r="G24" s="10" t="n">
        <v>7680</v>
      </c>
      <c r="H24" s="13" t="inlineStr">
        <is>
          <t>Branch routes</t>
        </is>
      </c>
      <c r="I24" s="13" t="inlineStr">
        <is>
          <t>—</t>
        </is>
      </c>
    </row>
    <row r="25" ht="22" customHeight="1">
      <c r="A25" s="5" t="inlineStr">
        <is>
          <t>5.3</t>
        </is>
      </c>
      <c r="B25" s="6" t="inlineStr">
        <is>
          <t>20mm GI conduit</t>
        </is>
      </c>
      <c r="C25" s="7" t="inlineStr">
        <is>
          <t>BS EN 61386</t>
        </is>
      </c>
      <c r="D25" s="8" t="inlineStr">
        <is>
          <t>m</t>
        </is>
      </c>
      <c r="E25" s="8" t="n">
        <v>1200</v>
      </c>
      <c r="F25" s="9" t="n">
        <v>8.5</v>
      </c>
      <c r="G25" s="10" t="n">
        <v>10200</v>
      </c>
      <c r="H25" s="7" t="inlineStr">
        <is>
          <t>Final circuits</t>
        </is>
      </c>
      <c r="I25" s="7" t="inlineStr">
        <is>
          <t>—</t>
        </is>
      </c>
    </row>
    <row r="26" ht="24" customHeight="1">
      <c r="A26" s="16" t="inlineStr">
        <is>
          <t>TOTAL (Excl. VAT)</t>
        </is>
      </c>
      <c r="G26" s="17">
        <f>SUM(G4:G25)</f>
        <v/>
      </c>
    </row>
    <row r="27">
      <c r="A27" s="18" t="inlineStr">
        <is>
          <t>VAT @ 5% (UAE)</t>
        </is>
      </c>
      <c r="G27" s="19">
        <f>G26*0.05</f>
        <v/>
      </c>
    </row>
    <row r="28" ht="28" customHeight="1">
      <c r="A28" s="20" t="inlineStr">
        <is>
          <t>GRAND TOTAL (Incl. VAT)</t>
        </is>
      </c>
      <c r="G28" s="21">
        <f>G26+G27</f>
        <v/>
      </c>
    </row>
  </sheetData>
  <mergeCells count="10">
    <mergeCell ref="A2:I2"/>
    <mergeCell ref="A28:F28"/>
    <mergeCell ref="A14:I14"/>
    <mergeCell ref="A27:F27"/>
    <mergeCell ref="A1:I1"/>
    <mergeCell ref="A9:I9"/>
    <mergeCell ref="A18:I18"/>
    <mergeCell ref="A22:I22"/>
    <mergeCell ref="A26:F26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0" customWidth="1" min="4" max="4"/>
    <col width="7" customWidth="1" min="5" max="5"/>
    <col width="9" customWidth="1" min="6" max="6"/>
    <col width="10" customWidth="1" min="7" max="7"/>
    <col width="18" customWidth="1" min="8" max="8"/>
    <col width="10" customWidth="1" min="9" max="9"/>
    <col width="7" customWidth="1" min="10" max="10"/>
    <col width="7" customWidth="1" min="11" max="11"/>
    <col width="9" customWidth="1" min="12" max="12"/>
    <col width="9" customWidth="1" min="13" max="13"/>
    <col width="8" customWidth="1" min="14" max="14"/>
  </cols>
  <sheetData>
    <row r="1" ht="32" customHeight="1">
      <c r="A1" s="22" t="inlineStr">
        <is>
          <t>OpenMEP — Cable Schedule  |  Electrical Distribution  |  BS 7671:2018+A2:2022</t>
        </is>
      </c>
    </row>
    <row r="2">
      <c r="A2" s="3" t="inlineStr">
        <is>
          <t>Cct Ref</t>
        </is>
      </c>
      <c r="B2" s="3" t="inlineStr">
        <is>
          <t>From</t>
        </is>
      </c>
      <c r="C2" s="3" t="inlineStr">
        <is>
          <t>To</t>
        </is>
      </c>
      <c r="D2" s="3" t="inlineStr">
        <is>
          <t>Load (kW)</t>
        </is>
      </c>
      <c r="E2" s="3" t="inlineStr">
        <is>
          <t>PF</t>
        </is>
      </c>
      <c r="F2" s="3" t="inlineStr">
        <is>
          <t>Ib (A)</t>
        </is>
      </c>
      <c r="G2" s="3" t="inlineStr">
        <is>
          <t>Size mm²</t>
        </is>
      </c>
      <c r="H2" s="3" t="inlineStr">
        <is>
          <t>Type</t>
        </is>
      </c>
      <c r="I2" s="3" t="inlineStr">
        <is>
          <t>Method</t>
        </is>
      </c>
      <c r="J2" s="3" t="inlineStr">
        <is>
          <t>Ca</t>
        </is>
      </c>
      <c r="K2" s="3" t="inlineStr">
        <is>
          <t>Cg</t>
        </is>
      </c>
      <c r="L2" s="3" t="inlineStr">
        <is>
          <t>It (A)</t>
        </is>
      </c>
      <c r="M2" s="3" t="inlineStr">
        <is>
          <t>Iz (A)</t>
        </is>
      </c>
      <c r="N2" s="3" t="inlineStr">
        <is>
          <t>VD%</t>
        </is>
      </c>
    </row>
    <row r="3" ht="20" customHeight="1">
      <c r="A3" s="23" t="inlineStr">
        <is>
          <t>DB-M-01</t>
        </is>
      </c>
      <c r="B3" s="23" t="inlineStr">
        <is>
          <t>SMDB</t>
        </is>
      </c>
      <c r="C3" s="23" t="inlineStr">
        <is>
          <t>LDB-G-01</t>
        </is>
      </c>
      <c r="D3" s="24" t="n">
        <v>45</v>
      </c>
      <c r="E3" s="24" t="n">
        <v>0.85</v>
      </c>
      <c r="F3" s="24" t="n">
        <v>76.41</v>
      </c>
      <c r="G3" s="23" t="n">
        <v>16</v>
      </c>
      <c r="H3" s="23" t="inlineStr">
        <is>
          <t>XLPE/SWA Cu</t>
        </is>
      </c>
      <c r="I3" s="23" t="inlineStr">
        <is>
          <t>C</t>
        </is>
      </c>
      <c r="J3" s="24" t="n">
        <v>0.91</v>
      </c>
      <c r="K3" s="24" t="n">
        <v>1</v>
      </c>
      <c r="L3" s="24" t="n">
        <v>102</v>
      </c>
      <c r="M3" s="24" t="n">
        <v>92.8</v>
      </c>
      <c r="N3" s="25" t="n">
        <v>4.28</v>
      </c>
    </row>
    <row r="4" ht="20" customHeight="1">
      <c r="A4" s="26" t="inlineStr">
        <is>
          <t>DB-M-02</t>
        </is>
      </c>
      <c r="B4" s="26" t="inlineStr">
        <is>
          <t>SMDB</t>
        </is>
      </c>
      <c r="C4" s="26" t="inlineStr">
        <is>
          <t>LDB-G-02</t>
        </is>
      </c>
      <c r="D4" s="27" t="n">
        <v>38</v>
      </c>
      <c r="E4" s="27" t="n">
        <v>0.85</v>
      </c>
      <c r="F4" s="27" t="n">
        <v>64.52</v>
      </c>
      <c r="G4" s="26" t="n">
        <v>16</v>
      </c>
      <c r="H4" s="26" t="inlineStr">
        <is>
          <t>XLPE/SWA Cu</t>
        </is>
      </c>
      <c r="I4" s="26" t="inlineStr">
        <is>
          <t>C</t>
        </is>
      </c>
      <c r="J4" s="27" t="n">
        <v>0.91</v>
      </c>
      <c r="K4" s="27" t="n">
        <v>1</v>
      </c>
      <c r="L4" s="27" t="n">
        <v>102</v>
      </c>
      <c r="M4" s="27" t="n">
        <v>92.8</v>
      </c>
      <c r="N4" s="28" t="n">
        <v>3.62</v>
      </c>
    </row>
    <row r="5" ht="20" customHeight="1">
      <c r="A5" s="23" t="inlineStr">
        <is>
          <t>DB-M-03</t>
        </is>
      </c>
      <c r="B5" s="23" t="inlineStr">
        <is>
          <t>SMDB</t>
        </is>
      </c>
      <c r="C5" s="23" t="inlineStr">
        <is>
          <t>LDB-L1-01</t>
        </is>
      </c>
      <c r="D5" s="24" t="n">
        <v>62</v>
      </c>
      <c r="E5" s="24" t="n">
        <v>0.9</v>
      </c>
      <c r="F5" s="24" t="n">
        <v>99.67</v>
      </c>
      <c r="G5" s="23" t="n">
        <v>25</v>
      </c>
      <c r="H5" s="23" t="inlineStr">
        <is>
          <t>XLPE/SWA Cu</t>
        </is>
      </c>
      <c r="I5" s="23" t="inlineStr">
        <is>
          <t>C</t>
        </is>
      </c>
      <c r="J5" s="24" t="n">
        <v>0.91</v>
      </c>
      <c r="K5" s="24" t="n">
        <v>1</v>
      </c>
      <c r="L5" s="24" t="n">
        <v>133</v>
      </c>
      <c r="M5" s="24" t="n">
        <v>121</v>
      </c>
      <c r="N5" s="29" t="n">
        <v>3.18</v>
      </c>
    </row>
    <row r="6" ht="20" customHeight="1">
      <c r="A6" s="26" t="inlineStr">
        <is>
          <t>DB-M-04</t>
        </is>
      </c>
      <c r="B6" s="26" t="inlineStr">
        <is>
          <t>SMDB</t>
        </is>
      </c>
      <c r="C6" s="26" t="inlineStr">
        <is>
          <t>AHU-01</t>
        </is>
      </c>
      <c r="D6" s="27" t="n">
        <v>75</v>
      </c>
      <c r="E6" s="27" t="n">
        <v>0.9</v>
      </c>
      <c r="F6" s="27" t="n">
        <v>120.56</v>
      </c>
      <c r="G6" s="26" t="n">
        <v>35</v>
      </c>
      <c r="H6" s="26" t="inlineStr">
        <is>
          <t>XLPE/SWA Cu</t>
        </is>
      </c>
      <c r="I6" s="26" t="inlineStr">
        <is>
          <t>C</t>
        </is>
      </c>
      <c r="J6" s="27" t="n">
        <v>0.91</v>
      </c>
      <c r="K6" s="27" t="n">
        <v>1</v>
      </c>
      <c r="L6" s="27" t="n">
        <v>163</v>
      </c>
      <c r="M6" s="27" t="n">
        <v>148.3</v>
      </c>
      <c r="N6" s="28" t="n">
        <v>2.87</v>
      </c>
    </row>
    <row r="7" ht="20" customHeight="1">
      <c r="A7" s="23" t="inlineStr">
        <is>
          <t>DB-M-05</t>
        </is>
      </c>
      <c r="B7" s="23" t="inlineStr">
        <is>
          <t>SMDB</t>
        </is>
      </c>
      <c r="C7" s="23" t="inlineStr">
        <is>
          <t>LIFT-01</t>
        </is>
      </c>
      <c r="D7" s="24" t="n">
        <v>55</v>
      </c>
      <c r="E7" s="24" t="n">
        <v>0.9</v>
      </c>
      <c r="F7" s="24" t="n">
        <v>88.41</v>
      </c>
      <c r="G7" s="23" t="n">
        <v>25</v>
      </c>
      <c r="H7" s="23" t="inlineStr">
        <is>
          <t>XLPE/SWA Cu</t>
        </is>
      </c>
      <c r="I7" s="23" t="inlineStr">
        <is>
          <t>C</t>
        </is>
      </c>
      <c r="J7" s="24" t="n">
        <v>0.91</v>
      </c>
      <c r="K7" s="24" t="n">
        <v>1</v>
      </c>
      <c r="L7" s="24" t="n">
        <v>133</v>
      </c>
      <c r="M7" s="24" t="n">
        <v>121</v>
      </c>
      <c r="N7" s="29" t="n">
        <v>2.54</v>
      </c>
    </row>
    <row r="8" ht="20" customHeight="1">
      <c r="A8" s="26" t="inlineStr">
        <is>
          <t>DB-M-06</t>
        </is>
      </c>
      <c r="B8" s="26" t="inlineStr">
        <is>
          <t>SMDB</t>
        </is>
      </c>
      <c r="C8" s="26" t="inlineStr">
        <is>
          <t>DB-EMERG</t>
        </is>
      </c>
      <c r="D8" s="27" t="n">
        <v>30</v>
      </c>
      <c r="E8" s="27" t="n">
        <v>0.85</v>
      </c>
      <c r="F8" s="27" t="n">
        <v>50.94</v>
      </c>
      <c r="G8" s="26" t="n">
        <v>16</v>
      </c>
      <c r="H8" s="26" t="inlineStr">
        <is>
          <t>XLPE/SWA Cu</t>
        </is>
      </c>
      <c r="I8" s="26" t="inlineStr">
        <is>
          <t>E</t>
        </is>
      </c>
      <c r="J8" s="27" t="n">
        <v>1</v>
      </c>
      <c r="K8" s="27" t="n">
        <v>1</v>
      </c>
      <c r="L8" s="27" t="n">
        <v>117</v>
      </c>
      <c r="M8" s="27" t="n">
        <v>117</v>
      </c>
      <c r="N8" s="28" t="n">
        <v>1.97</v>
      </c>
    </row>
    <row r="9" ht="20" customHeight="1">
      <c r="A9" s="23" t="inlineStr">
        <is>
          <t>DB-M-07</t>
        </is>
      </c>
      <c r="B9" s="23" t="inlineStr">
        <is>
          <t>SMDB</t>
        </is>
      </c>
      <c r="C9" s="23" t="inlineStr">
        <is>
          <t>PUMP-FW</t>
        </is>
      </c>
      <c r="D9" s="24" t="n">
        <v>22</v>
      </c>
      <c r="E9" s="24" t="n">
        <v>0.85</v>
      </c>
      <c r="F9" s="24" t="n">
        <v>37.36</v>
      </c>
      <c r="G9" s="23" t="n">
        <v>10</v>
      </c>
      <c r="H9" s="23" t="inlineStr">
        <is>
          <t>XLPE/SWA Cu</t>
        </is>
      </c>
      <c r="I9" s="23" t="inlineStr">
        <is>
          <t>C</t>
        </is>
      </c>
      <c r="J9" s="24" t="n">
        <v>0.91</v>
      </c>
      <c r="K9" s="24" t="n">
        <v>1</v>
      </c>
      <c r="L9" s="24" t="n">
        <v>77</v>
      </c>
      <c r="M9" s="24" t="n">
        <v>70.09999999999999</v>
      </c>
      <c r="N9" s="29" t="n">
        <v>2.13</v>
      </c>
    </row>
    <row r="10" ht="20" customHeight="1">
      <c r="A10" s="26" t="inlineStr">
        <is>
          <t>DB-M-08</t>
        </is>
      </c>
      <c r="B10" s="26" t="inlineStr">
        <is>
          <t>SMDB</t>
        </is>
      </c>
      <c r="C10" s="26" t="inlineStr">
        <is>
          <t>PUMP-CH</t>
        </is>
      </c>
      <c r="D10" s="27" t="n">
        <v>18</v>
      </c>
      <c r="E10" s="27" t="n">
        <v>0.85</v>
      </c>
      <c r="F10" s="27" t="n">
        <v>30.57</v>
      </c>
      <c r="G10" s="26" t="n">
        <v>10</v>
      </c>
      <c r="H10" s="26" t="inlineStr">
        <is>
          <t>XLPE/SWA Cu</t>
        </is>
      </c>
      <c r="I10" s="26" t="inlineStr">
        <is>
          <t>C</t>
        </is>
      </c>
      <c r="J10" s="27" t="n">
        <v>0.91</v>
      </c>
      <c r="K10" s="27" t="n">
        <v>1</v>
      </c>
      <c r="L10" s="27" t="n">
        <v>77</v>
      </c>
      <c r="M10" s="27" t="n">
        <v>70.09999999999999</v>
      </c>
      <c r="N10" s="28" t="n">
        <v>1.74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8" customWidth="1" min="4" max="4"/>
    <col width="14" customWidth="1" min="5" max="5"/>
    <col width="12" customWidth="1" min="6" max="6"/>
  </cols>
  <sheetData>
    <row r="1" ht="32" customHeight="1">
      <c r="A1" s="22" t="inlineStr">
        <is>
          <t>OpenMEP — Standards Data Reference  |  XLPE/Cu Ratings &amp; Correction Factors</t>
        </is>
      </c>
    </row>
    <row r="2" ht="22" customHeight="1">
      <c r="A2" s="30" t="inlineStr">
        <is>
          <t>BS 7671 Table 4D5A — XLPE/Cu Multicore Ampacity (Amps)</t>
        </is>
      </c>
    </row>
    <row r="3">
      <c r="A3" s="3" t="inlineStr">
        <is>
          <t>Size (mm²)</t>
        </is>
      </c>
      <c r="B3" s="3" t="inlineStr">
        <is>
          <t>A1</t>
        </is>
      </c>
      <c r="C3" s="3" t="inlineStr">
        <is>
          <t>B1</t>
        </is>
      </c>
      <c r="D3" s="3" t="inlineStr">
        <is>
          <t>C</t>
        </is>
      </c>
      <c r="E3" s="3" t="inlineStr">
        <is>
          <t>D1</t>
        </is>
      </c>
      <c r="F3" s="3" t="inlineStr">
        <is>
          <t>E</t>
        </is>
      </c>
    </row>
    <row r="4" ht="18" customHeight="1">
      <c r="A4" s="31" t="n">
        <v>1.5</v>
      </c>
      <c r="B4" s="14" t="n">
        <v>17.5</v>
      </c>
      <c r="C4" s="14" t="n">
        <v>20</v>
      </c>
      <c r="D4" s="14" t="n">
        <v>26</v>
      </c>
      <c r="E4" s="14" t="n">
        <v>22</v>
      </c>
      <c r="F4" s="14" t="n">
        <v>29</v>
      </c>
    </row>
    <row r="5" ht="18" customHeight="1">
      <c r="A5" s="31" t="n">
        <v>2.5</v>
      </c>
      <c r="B5" s="8" t="n">
        <v>24</v>
      </c>
      <c r="C5" s="8" t="n">
        <v>27</v>
      </c>
      <c r="D5" s="8" t="n">
        <v>34</v>
      </c>
      <c r="E5" s="8" t="n">
        <v>29</v>
      </c>
      <c r="F5" s="8" t="n">
        <v>39</v>
      </c>
    </row>
    <row r="6" ht="18" customHeight="1">
      <c r="A6" s="31" t="n">
        <v>4</v>
      </c>
      <c r="B6" s="14" t="n">
        <v>32</v>
      </c>
      <c r="C6" s="14" t="n">
        <v>36</v>
      </c>
      <c r="D6" s="14" t="n">
        <v>46</v>
      </c>
      <c r="E6" s="14" t="n">
        <v>38</v>
      </c>
      <c r="F6" s="14" t="n">
        <v>52</v>
      </c>
    </row>
    <row r="7" ht="18" customHeight="1">
      <c r="A7" s="31" t="n">
        <v>6</v>
      </c>
      <c r="B7" s="8" t="n">
        <v>40</v>
      </c>
      <c r="C7" s="8" t="n">
        <v>46</v>
      </c>
      <c r="D7" s="8" t="n">
        <v>57</v>
      </c>
      <c r="E7" s="8" t="n">
        <v>47</v>
      </c>
      <c r="F7" s="8" t="n">
        <v>65</v>
      </c>
    </row>
    <row r="8" ht="18" customHeight="1">
      <c r="A8" s="31" t="n">
        <v>10</v>
      </c>
      <c r="B8" s="14" t="n">
        <v>54</v>
      </c>
      <c r="C8" s="14" t="n">
        <v>63</v>
      </c>
      <c r="D8" s="14" t="n">
        <v>77</v>
      </c>
      <c r="E8" s="14" t="n">
        <v>63</v>
      </c>
      <c r="F8" s="14" t="n">
        <v>88</v>
      </c>
    </row>
    <row r="9" ht="18" customHeight="1">
      <c r="A9" s="31" t="n">
        <v>16</v>
      </c>
      <c r="B9" s="8" t="n">
        <v>73</v>
      </c>
      <c r="C9" s="8" t="n">
        <v>85</v>
      </c>
      <c r="D9" s="8" t="n">
        <v>102</v>
      </c>
      <c r="E9" s="8" t="n">
        <v>83</v>
      </c>
      <c r="F9" s="8" t="n">
        <v>117</v>
      </c>
    </row>
    <row r="10" ht="18" customHeight="1">
      <c r="A10" s="31" t="n">
        <v>25</v>
      </c>
      <c r="B10" s="14" t="n">
        <v>95</v>
      </c>
      <c r="C10" s="14" t="n">
        <v>110</v>
      </c>
      <c r="D10" s="14" t="n">
        <v>133</v>
      </c>
      <c r="E10" s="14" t="n">
        <v>107</v>
      </c>
      <c r="F10" s="14" t="n">
        <v>152</v>
      </c>
    </row>
    <row r="11" ht="18" customHeight="1">
      <c r="A11" s="31" t="n">
        <v>35</v>
      </c>
      <c r="B11" s="8" t="n">
        <v>117</v>
      </c>
      <c r="C11" s="8" t="n">
        <v>135</v>
      </c>
      <c r="D11" s="8" t="n">
        <v>163</v>
      </c>
      <c r="E11" s="8" t="n">
        <v>130</v>
      </c>
      <c r="F11" s="8" t="n">
        <v>187</v>
      </c>
    </row>
    <row r="12" ht="18" customHeight="1">
      <c r="A12" s="31" t="n">
        <v>50</v>
      </c>
      <c r="B12" s="14" t="n">
        <v>141</v>
      </c>
      <c r="C12" s="14" t="n">
        <v>163</v>
      </c>
      <c r="D12" s="14" t="n">
        <v>198</v>
      </c>
      <c r="E12" s="14" t="n">
        <v>154</v>
      </c>
      <c r="F12" s="14" t="n">
        <v>227</v>
      </c>
    </row>
    <row r="13" ht="18" customHeight="1">
      <c r="A13" s="31" t="n">
        <v>70</v>
      </c>
      <c r="B13" s="8" t="n">
        <v>179</v>
      </c>
      <c r="C13" s="8" t="n">
        <v>207</v>
      </c>
      <c r="D13" s="8" t="n">
        <v>253</v>
      </c>
      <c r="E13" s="8" t="n">
        <v>194</v>
      </c>
      <c r="F13" s="8" t="n">
        <v>290</v>
      </c>
    </row>
    <row r="14" ht="18" customHeight="1">
      <c r="A14" s="31" t="n">
        <v>95</v>
      </c>
      <c r="B14" s="14" t="n">
        <v>216</v>
      </c>
      <c r="C14" s="14" t="n">
        <v>250</v>
      </c>
      <c r="D14" s="14" t="n">
        <v>306</v>
      </c>
      <c r="E14" s="14" t="n">
        <v>233</v>
      </c>
      <c r="F14" s="14" t="n">
        <v>352</v>
      </c>
    </row>
    <row r="15" ht="18" customHeight="1">
      <c r="A15" s="31" t="n">
        <v>120</v>
      </c>
      <c r="B15" s="8" t="n">
        <v>249</v>
      </c>
      <c r="C15" s="8" t="n">
        <v>288</v>
      </c>
      <c r="D15" s="8" t="n">
        <v>354</v>
      </c>
      <c r="E15" s="8" t="n">
        <v>269</v>
      </c>
      <c r="F15" s="8" t="n">
        <v>406</v>
      </c>
    </row>
    <row r="16" ht="18" customHeight="1">
      <c r="A16" s="31" t="n">
        <v>150</v>
      </c>
      <c r="B16" s="14" t="n">
        <v>285</v>
      </c>
      <c r="C16" s="14" t="n">
        <v>330</v>
      </c>
      <c r="D16" s="14" t="n">
        <v>407</v>
      </c>
      <c r="E16" s="14" t="n">
        <v>306</v>
      </c>
      <c r="F16" s="14" t="n">
        <v>464</v>
      </c>
    </row>
    <row r="17" ht="18" customHeight="1">
      <c r="A17" s="31" t="n">
        <v>185</v>
      </c>
      <c r="B17" s="8" t="n">
        <v>324</v>
      </c>
      <c r="C17" s="8" t="n">
        <v>376</v>
      </c>
      <c r="D17" s="8" t="n">
        <v>464</v>
      </c>
      <c r="E17" s="8" t="n">
        <v>349</v>
      </c>
      <c r="F17" s="8" t="n">
        <v>530</v>
      </c>
    </row>
    <row r="18" ht="18" customHeight="1">
      <c r="A18" s="31" t="n">
        <v>240</v>
      </c>
      <c r="B18" s="14" t="n">
        <v>380</v>
      </c>
      <c r="C18" s="14" t="n">
        <v>442</v>
      </c>
      <c r="D18" s="14" t="n">
        <v>546</v>
      </c>
      <c r="E18" s="14" t="n">
        <v>408</v>
      </c>
      <c r="F18" s="14" t="n">
        <v>624</v>
      </c>
    </row>
    <row r="19" ht="18" customHeight="1">
      <c r="A19" s="31" t="n">
        <v>300</v>
      </c>
      <c r="B19" s="8" t="n">
        <v>435</v>
      </c>
      <c r="C19" s="8" t="n">
        <v>507</v>
      </c>
      <c r="D19" s="8" t="n">
        <v>628</v>
      </c>
      <c r="E19" s="8" t="n">
        <v>466</v>
      </c>
      <c r="F19" s="8" t="n">
        <v>717</v>
      </c>
    </row>
    <row r="20" ht="18" customHeight="1">
      <c r="A20" s="31" t="n">
        <v>400</v>
      </c>
      <c r="B20" s="14" t="n">
        <v>510</v>
      </c>
      <c r="C20" s="14" t="n">
        <v>594</v>
      </c>
      <c r="D20" s="14" t="n">
        <v>754</v>
      </c>
      <c r="E20" s="14" t="n">
        <v>551</v>
      </c>
      <c r="F20" s="14" t="n">
        <v>856</v>
      </c>
    </row>
    <row r="21" ht="18" customHeight="1">
      <c r="A21" s="31" t="n">
        <v>630</v>
      </c>
      <c r="B21" s="8" t="n">
        <v>680</v>
      </c>
      <c r="C21" s="8" t="n">
        <v>792</v>
      </c>
      <c r="D21" s="8" t="n">
        <v>1005</v>
      </c>
      <c r="E21" s="8" t="n">
        <v>741</v>
      </c>
      <c r="F21" s="8" t="n">
        <v>1151</v>
      </c>
    </row>
    <row r="24" ht="22" customHeight="1">
      <c r="A24" s="30" t="inlineStr">
        <is>
          <t>BS 7671 Table 4B1 — Ambient Temperature Correction Factors (Ca) for XLPE</t>
        </is>
      </c>
    </row>
    <row r="25">
      <c r="A25" s="3" t="inlineStr">
        <is>
          <t>Temp (°C)</t>
        </is>
      </c>
      <c r="B25" s="3" t="inlineStr">
        <is>
          <t>Ca Factor</t>
        </is>
      </c>
      <c r="C25" s="3" t="inlineStr"/>
      <c r="D25" s="3" t="inlineStr">
        <is>
          <t>Grouping (Cg)</t>
        </is>
      </c>
      <c r="E25" s="3" t="inlineStr">
        <is>
          <t>No. Circuits</t>
        </is>
      </c>
      <c r="F25" s="3" t="inlineStr">
        <is>
          <t>Touching</t>
        </is>
      </c>
    </row>
    <row r="26" ht="18" customHeight="1">
      <c r="A26" s="14" t="n">
        <v>10</v>
      </c>
      <c r="B26" s="14" t="n">
        <v>1.15</v>
      </c>
      <c r="C26" s="14" t="inlineStr"/>
      <c r="D26" s="14" t="inlineStr"/>
      <c r="E26" s="14" t="n">
        <v>1</v>
      </c>
      <c r="F26" s="14" t="n">
        <v>1</v>
      </c>
    </row>
    <row r="27" ht="18" customHeight="1">
      <c r="A27" s="8" t="n">
        <v>15</v>
      </c>
      <c r="B27" s="8" t="n">
        <v>1.12</v>
      </c>
      <c r="C27" s="8" t="inlineStr"/>
      <c r="D27" s="8" t="inlineStr"/>
      <c r="E27" s="8" t="n">
        <v>2</v>
      </c>
      <c r="F27" s="8" t="n">
        <v>0.8</v>
      </c>
    </row>
    <row r="28" ht="18" customHeight="1">
      <c r="A28" s="14" t="n">
        <v>20</v>
      </c>
      <c r="B28" s="14" t="n">
        <v>1.08</v>
      </c>
      <c r="C28" s="14" t="inlineStr"/>
      <c r="D28" s="14" t="inlineStr"/>
      <c r="E28" s="14" t="n">
        <v>3</v>
      </c>
      <c r="F28" s="14" t="n">
        <v>0.7</v>
      </c>
    </row>
    <row r="29" ht="18" customHeight="1">
      <c r="A29" s="8" t="n">
        <v>25</v>
      </c>
      <c r="B29" s="8" t="n">
        <v>1.04</v>
      </c>
      <c r="C29" s="8" t="inlineStr"/>
      <c r="D29" s="8" t="inlineStr"/>
      <c r="E29" s="8" t="n">
        <v>4</v>
      </c>
      <c r="F29" s="8" t="n">
        <v>0.65</v>
      </c>
    </row>
    <row r="30" ht="18" customHeight="1">
      <c r="A30" s="14" t="n">
        <v>30</v>
      </c>
      <c r="B30" s="14" t="n">
        <v>1</v>
      </c>
      <c r="C30" s="14" t="inlineStr"/>
      <c r="D30" s="14" t="inlineStr"/>
      <c r="E30" s="14" t="n">
        <v>5</v>
      </c>
      <c r="F30" s="14" t="n">
        <v>0.6</v>
      </c>
    </row>
    <row r="31" ht="18" customHeight="1">
      <c r="A31" s="8" t="n">
        <v>35</v>
      </c>
      <c r="B31" s="8" t="n">
        <v>0.96</v>
      </c>
      <c r="C31" s="8" t="inlineStr"/>
      <c r="D31" s="8" t="inlineStr"/>
      <c r="E31" s="8" t="n">
        <v>6</v>
      </c>
      <c r="F31" s="8" t="n">
        <v>0.57</v>
      </c>
    </row>
    <row r="32" ht="18" customHeight="1">
      <c r="A32" s="14" t="n">
        <v>40</v>
      </c>
      <c r="B32" s="14" t="n">
        <v>0.91</v>
      </c>
      <c r="C32" s="14" t="inlineStr"/>
      <c r="D32" s="14" t="inlineStr"/>
      <c r="E32" s="14" t="n">
        <v>7</v>
      </c>
      <c r="F32" s="14" t="n">
        <v>0.54</v>
      </c>
    </row>
    <row r="33" ht="18" customHeight="1">
      <c r="A33" s="8" t="n">
        <v>45</v>
      </c>
      <c r="B33" s="8" t="n">
        <v>0.87</v>
      </c>
      <c r="C33" s="8" t="inlineStr"/>
      <c r="D33" s="8" t="inlineStr"/>
      <c r="E33" s="8" t="n">
        <v>8</v>
      </c>
      <c r="F33" s="8" t="n">
        <v>0.52</v>
      </c>
    </row>
    <row r="34" ht="18" customHeight="1">
      <c r="A34" s="14" t="n">
        <v>50</v>
      </c>
      <c r="B34" s="14" t="n">
        <v>0.82</v>
      </c>
      <c r="C34" s="14" t="inlineStr"/>
      <c r="D34" s="14" t="inlineStr"/>
      <c r="E34" s="14" t="n">
        <v>9</v>
      </c>
      <c r="F34" s="14" t="n">
        <v>0.5</v>
      </c>
    </row>
    <row r="35" ht="18" customHeight="1">
      <c r="A35" s="8" t="n">
        <v>55</v>
      </c>
      <c r="B35" s="8" t="n">
        <v>0.76</v>
      </c>
      <c r="C35" s="8" t="inlineStr"/>
      <c r="D35" s="8" t="inlineStr"/>
      <c r="E35" s="8" t="n">
        <v>12</v>
      </c>
      <c r="F35" s="8" t="n">
        <v>0.45</v>
      </c>
    </row>
    <row r="36" ht="18" customHeight="1">
      <c r="A36" s="14" t="n">
        <v>60</v>
      </c>
      <c r="B36" s="14" t="n">
        <v>0.71</v>
      </c>
      <c r="C36" s="14" t="inlineStr"/>
      <c r="D36" s="14" t="inlineStr"/>
      <c r="E36" s="14" t="n">
        <v>16</v>
      </c>
      <c r="F36" s="14" t="n">
        <v>0.41</v>
      </c>
    </row>
    <row r="37" ht="18" customHeight="1">
      <c r="A37" s="8" t="n">
        <v>65</v>
      </c>
      <c r="B37" s="8" t="n">
        <v>0.65</v>
      </c>
      <c r="C37" s="8" t="inlineStr"/>
      <c r="D37" s="8" t="inlineStr"/>
      <c r="E37" s="8" t="n">
        <v>20</v>
      </c>
      <c r="F37" s="8" t="n">
        <v>0.38</v>
      </c>
    </row>
    <row r="38" ht="18" customHeight="1">
      <c r="A38" s="14" t="n">
        <v>70</v>
      </c>
      <c r="B38" s="14" t="n">
        <v>0.58</v>
      </c>
      <c r="C38" s="14" t="inlineStr"/>
      <c r="D38" s="14" t="inlineStr"/>
      <c r="E38" s="14" t="inlineStr"/>
      <c r="F38" s="14" t="inlineStr"/>
    </row>
    <row r="39" ht="18" customHeight="1">
      <c r="A39" s="8" t="n">
        <v>75</v>
      </c>
      <c r="B39" s="8" t="n">
        <v>0.5</v>
      </c>
      <c r="C39" s="8" t="inlineStr"/>
      <c r="D39" s="8" t="inlineStr"/>
      <c r="E39" s="8" t="inlineStr"/>
      <c r="F39" s="8" t="inlineStr"/>
    </row>
    <row r="40" ht="18" customHeight="1">
      <c r="A40" s="14" t="n">
        <v>80</v>
      </c>
      <c r="B40" s="14" t="n">
        <v>0.41</v>
      </c>
      <c r="C40" s="14" t="inlineStr"/>
      <c r="D40" s="14" t="inlineStr"/>
      <c r="E40" s="14" t="inlineStr"/>
      <c r="F40" s="14" t="inlineStr"/>
    </row>
    <row r="43">
      <c r="A43" s="32" t="inlineStr">
        <is>
          <t>Generated by OpenMEP v1.0  ·  © 2025 Luquman A  ·  github.com/kakarot-oncloud/openmep  ·  30 March 2026</t>
        </is>
      </c>
    </row>
  </sheetData>
  <mergeCells count="4">
    <mergeCell ref="A24:F24"/>
    <mergeCell ref="A2:F2"/>
    <mergeCell ref="A1:F1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2026-03-30T18:47:18Z</dcterms:created>
  <dcterms:modified xsi:type="dcterms:W3CDTF">2026-03-30T18:47:18Z</dcterms:modified>
</cp:coreProperties>
</file>